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1"/>
  <workbookPr/>
  <mc:AlternateContent xmlns:mc="http://schemas.openxmlformats.org/markup-compatibility/2006">
    <mc:Choice Requires="x15">
      <x15ac:absPath xmlns:x15ac="http://schemas.microsoft.com/office/spreadsheetml/2010/11/ac" url="https://d.docs.live.net/9fbe760ea3135277/Documentos/"/>
    </mc:Choice>
  </mc:AlternateContent>
  <xr:revisionPtr revIDLastSave="156" documentId="8_{9A02646C-E58C-4B4E-84C3-7B7775C6F9AD}" xr6:coauthVersionLast="47" xr6:coauthVersionMax="47" xr10:uidLastSave="{F1A3A4CA-A6C1-4AC8-B4F8-885D43C651D4}"/>
  <bookViews>
    <workbookView xWindow="-120" yWindow="-120" windowWidth="20730" windowHeight="11040" xr2:uid="{00000000-000D-0000-FFFF-FFFF00000000}"/>
  </bookViews>
  <sheets>
    <sheet name="Datas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2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" i="1"/>
  <c r="H4" i="1"/>
  <c r="H5" i="1"/>
  <c r="H6" i="1"/>
  <c r="H7" i="1"/>
  <c r="H8" i="1"/>
  <c r="H9" i="1"/>
  <c r="H10" i="1"/>
  <c r="H2" i="1"/>
  <c r="M25" i="1"/>
  <c r="M23" i="1"/>
  <c r="G33" i="1"/>
  <c r="G34" i="1"/>
  <c r="G35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" i="1"/>
  <c r="M13" i="1"/>
  <c r="M12" i="1"/>
  <c r="M7" i="1"/>
  <c r="M6" i="1"/>
  <c r="M5" i="1"/>
</calcChain>
</file>

<file path=xl/sharedStrings.xml><?xml version="1.0" encoding="utf-8"?>
<sst xmlns="http://schemas.openxmlformats.org/spreadsheetml/2006/main" count="160" uniqueCount="111">
  <si>
    <t>Product ID</t>
  </si>
  <si>
    <t>Product Name</t>
  </si>
  <si>
    <t>Brand Name</t>
  </si>
  <si>
    <t>Price ($)</t>
  </si>
  <si>
    <t>Quantity</t>
  </si>
  <si>
    <t>Category</t>
  </si>
  <si>
    <t xml:space="preserve">Price Range </t>
  </si>
  <si>
    <t>Day</t>
  </si>
  <si>
    <t>Country code</t>
  </si>
  <si>
    <t>Month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</si>
  <si>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</si>
  <si>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</si>
  <si>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</si>
  <si>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</si>
  <si>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</si>
  <si>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</si>
  <si>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</si>
  <si>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</si>
  <si>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 xml:space="preserve"> TASK 1                 Sum, Count, Average </t>
  </si>
  <si>
    <t>03-MAR-US</t>
  </si>
  <si>
    <t>Coffee Maker</t>
  </si>
  <si>
    <t>Keurig</t>
  </si>
  <si>
    <t>Kitchen</t>
  </si>
  <si>
    <t>11-APR-US</t>
  </si>
  <si>
    <t>Smartphone</t>
  </si>
  <si>
    <t>Samsung</t>
  </si>
  <si>
    <t xml:space="preserve">Total price of all product </t>
  </si>
  <si>
    <t>22-MAY-US</t>
  </si>
  <si>
    <t>Backpack</t>
  </si>
  <si>
    <t>North Face</t>
  </si>
  <si>
    <t>Outdoor</t>
  </si>
  <si>
    <t xml:space="preserve">How many product exist in the data base </t>
  </si>
  <si>
    <t>07-JUN-UK</t>
  </si>
  <si>
    <t>Headphones</t>
  </si>
  <si>
    <t>Sony</t>
  </si>
  <si>
    <t xml:space="preserve">Average price of the product 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</si>
  <si>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</si>
  <si>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</si>
  <si>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</si>
  <si>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</si>
  <si>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</si>
  <si>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</si>
  <si>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</si>
  <si>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</si>
  <si>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</si>
  <si>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 xml:space="preserve">TASK 2                Minimum, Maximum values </t>
  </si>
  <si>
    <t>14-OCT-UK</t>
  </si>
  <si>
    <t>Hiking Boots</t>
  </si>
  <si>
    <t>Timberland</t>
  </si>
  <si>
    <t>17-JUN-IN</t>
  </si>
  <si>
    <t>HP</t>
  </si>
  <si>
    <t xml:space="preserve">Minimum price </t>
  </si>
  <si>
    <t>25-NOV-AU</t>
  </si>
  <si>
    <t>Maximum price</t>
  </si>
  <si>
    <t>08-DEC-DE</t>
  </si>
  <si>
    <t>Nespresso</t>
  </si>
  <si>
    <t>18-FEB-CA</t>
  </si>
  <si>
    <t>Smartwatch</t>
  </si>
  <si>
    <t>Fitbit</t>
  </si>
  <si>
    <t>16-APR-ES</t>
  </si>
  <si>
    <t>Bose</t>
  </si>
  <si>
    <t>TASK 3                       Logical Function -IF</t>
  </si>
  <si>
    <t>21-AUG-CA</t>
  </si>
  <si>
    <t>Laptop Bag</t>
  </si>
  <si>
    <t>Samsonite</t>
  </si>
  <si>
    <t>Accessories</t>
  </si>
  <si>
    <t>20-AUG-CN</t>
  </si>
  <si>
    <t>Huawei</t>
  </si>
  <si>
    <t>Create a new column named Price Range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</si>
  <si>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</si>
  <si>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</si>
  <si>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</si>
  <si>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</si>
  <si>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</si>
  <si>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</si>
  <si>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</si>
  <si>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</si>
  <si>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TASK 4                     Conditional Function - SUMIF &amp; COUNTIF</t>
  </si>
  <si>
    <t>14-MAY-RU</t>
  </si>
  <si>
    <t>Camera</t>
  </si>
  <si>
    <t>Nikon</t>
  </si>
  <si>
    <t>09-JAN-CA</t>
  </si>
  <si>
    <t>Microwave</t>
  </si>
  <si>
    <t>Panasonic</t>
  </si>
  <si>
    <t>Total price of products in the electronic category</t>
  </si>
  <si>
    <t>19-JUL-BR</t>
  </si>
  <si>
    <t>Fitness Tracker</t>
  </si>
  <si>
    <t>Xiaomi</t>
  </si>
  <si>
    <t>Number of product with a price less than 100</t>
  </si>
  <si>
    <t>29-SEP-CA</t>
  </si>
  <si>
    <t>Google</t>
  </si>
  <si>
    <t>03-JUN-CA</t>
  </si>
  <si>
    <t>Ray-Ban</t>
  </si>
  <si>
    <t>11-JUL-CA</t>
  </si>
  <si>
    <t>Vitamix</t>
  </si>
  <si>
    <t xml:space="preserve">TASK 5              Text formatting - LEFT, RIGHT, MID </t>
  </si>
  <si>
    <t>07-MAR-CA</t>
  </si>
  <si>
    <t>Dress</t>
  </si>
  <si>
    <t>Zara</t>
  </si>
  <si>
    <t>13-APR-CA</t>
  </si>
  <si>
    <t>Toaster</t>
  </si>
  <si>
    <t>Hamilton</t>
  </si>
  <si>
    <t>Created  a 3 column named Day, Country code, Month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</si>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</sst>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Franklin Gothic"/>
    </font>
    <font>
      <b/>
      <sz val="10"/>
      <color rgb="FF000000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0" fillId="0" borderId="0" xfId="0" applyAlignment="1">
      <alignment horizontal="left"/>
    </xf>
    <xf numFmtId="0" fontId="4" fillId="5" borderId="0" xfId="0" applyFont="1" applyFill="1" applyAlignment="1">
      <alignment horizontal="left"/>
    </xf>
    <xf numFmtId="0" fontId="0" fillId="5" borderId="0" xfId="0" applyFill="1" applyAlignment="1">
      <alignment horizontal="center"/>
    </xf>
    <xf numFmtId="0" fontId="4" fillId="5" borderId="0" xfId="0" applyFont="1" applyFill="1"/>
    <xf numFmtId="0" fontId="0" fillId="5" borderId="0" xfId="0" applyFill="1" applyAlignment="1"/>
    <xf numFmtId="0" fontId="0" fillId="5" borderId="0" xfId="0" applyFill="1"/>
    <xf numFmtId="0" fontId="4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4" fillId="6" borderId="0" xfId="0" applyFont="1" applyFill="1"/>
    <xf numFmtId="0" fontId="4" fillId="5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wrapText="1"/>
    </xf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537264-ACC5-42D6-A13C-FBAD023E1A66}" name="Table1" displayName="Table1" ref="G1:J35" totalsRowShown="0">
  <autoFilter ref="G1:J35" xr:uid="{AE537264-ACC5-42D6-A13C-FBAD023E1A66}"/>
  <tableColumns count="4">
    <tableColumn id="1" xr3:uid="{AEBEEAAA-7A20-4488-BD93-50394F95C5A1}" name="Price Range " dataDxfId="0">
      <calculatedColumnFormula>IF(D2&gt;500,"High price","standard price")</calculatedColumnFormula>
    </tableColumn>
    <tableColumn id="2" xr3:uid="{6B7F59EF-52A1-407A-B4B2-F86095076E1C}" name="Day">
      <calculatedColumnFormula>LEFT(A2,2)</calculatedColumnFormula>
    </tableColumn>
    <tableColumn id="3" xr3:uid="{AB7DA1F0-7485-4D8E-B337-3CCD4E7A43AE}" name="Country code">
      <calculatedColumnFormula>RIGHT(A2,2)</calculatedColumnFormula>
    </tableColumn>
    <tableColumn id="4" xr3:uid="{3983B9BB-4948-495E-A455-5C785AAF4C87}" name="Month">
      <calculatedColumnFormula>MID(A2,4,3)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00"/>
  <sheetViews>
    <sheetView tabSelected="1" topLeftCell="A29" workbookViewId="0">
      <selection activeCell="H41" sqref="H41"/>
    </sheetView>
  </sheetViews>
  <sheetFormatPr defaultColWidth="12.5703125" defaultRowHeight="15" customHeight="1"/>
  <cols>
    <col min="2" max="2" width="14.140625" customWidth="1"/>
    <col min="7" max="7" width="16.5703125" customWidth="1"/>
    <col min="8" max="8" width="10.5703125" customWidth="1"/>
    <col min="9" max="9" width="15.140625" bestFit="1" customWidth="1"/>
    <col min="11" max="11" width="36.5703125" bestFit="1" customWidth="1"/>
  </cols>
  <sheetData>
    <row r="1" spans="1:15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1" t="s">
        <v>6</v>
      </c>
      <c r="H1" s="10" t="s">
        <v>7</v>
      </c>
      <c r="I1" s="12" t="s">
        <v>8</v>
      </c>
      <c r="J1" s="10" t="s">
        <v>9</v>
      </c>
    </row>
    <row r="2" spans="1:15" ht="15.75" customHeight="1">
      <c r="A2" s="2" t="s">
        <v>10</v>
      </c>
      <c r="B2" s="2" t="s">
        <v>11</v>
      </c>
      <c r="C2" s="2" t="s">
        <v>12</v>
      </c>
      <c r="D2" s="2">
        <v>1000</v>
      </c>
      <c r="E2" s="2">
        <v>30</v>
      </c>
      <c r="F2" s="2" t="s">
        <v>13</v>
      </c>
      <c r="G2" s="2" t="str">
        <f>IF(D2&gt;500,"High price","standard price")</f>
        <v>High price</v>
      </c>
      <c r="H2" t="str">
        <f>LEFT(A2,2)</f>
        <v>28</v>
      </c>
      <c r="I2" t="str">
        <f>RIGHT(A2,2)</f>
        <v>US</v>
      </c>
      <c r="J2" t="str">
        <f>MID(A2,4,3)</f>
        <v>JAN</v>
      </c>
    </row>
    <row r="3" spans="1:15" ht="15.75" customHeight="1">
      <c r="A3" s="3" t="s">
        <v>14</v>
      </c>
      <c r="B3" s="3" t="s">
        <v>15</v>
      </c>
      <c r="C3" s="3" t="s">
        <v>16</v>
      </c>
      <c r="D3" s="3">
        <v>80</v>
      </c>
      <c r="E3" s="3">
        <v>15</v>
      </c>
      <c r="F3" s="3" t="s">
        <v>17</v>
      </c>
      <c r="G3" s="2" t="str">
        <f t="shared" ref="G3:G35" si="0">IF(D3&gt;500,"High price","standard price")</f>
        <v>standard price</v>
      </c>
      <c r="H3" t="str">
        <f t="shared" ref="H3:H35" si="1">LEFT(A3,2)</f>
        <v>15</v>
      </c>
      <c r="I3" t="str">
        <f t="shared" ref="I3:I35" si="2">RIGHT(A3,2)</f>
        <v>US</v>
      </c>
      <c r="J3" t="str">
        <f t="shared" ref="J3:J35" si="3">MID(A3,4,3)</f>
        <v>FEB</v>
      </c>
      <c r="K3" s="16" t="s">
        <v>18</v>
      </c>
      <c r="L3" s="16"/>
      <c r="M3" s="16"/>
      <c r="N3" s="16"/>
      <c r="O3" s="16"/>
    </row>
    <row r="4" spans="1:15" ht="15.75" customHeight="1">
      <c r="A4" s="2" t="s">
        <v>19</v>
      </c>
      <c r="B4" s="2" t="s">
        <v>20</v>
      </c>
      <c r="C4" s="2" t="s">
        <v>21</v>
      </c>
      <c r="D4" s="2">
        <v>130</v>
      </c>
      <c r="E4" s="2">
        <v>40</v>
      </c>
      <c r="F4" s="2" t="s">
        <v>22</v>
      </c>
      <c r="G4" s="2" t="str">
        <f t="shared" si="0"/>
        <v>standard price</v>
      </c>
      <c r="H4" t="str">
        <f t="shared" si="1"/>
        <v>03</v>
      </c>
      <c r="I4" s="4" t="str">
        <f t="shared" si="2"/>
        <v>US</v>
      </c>
      <c r="J4" t="str">
        <f t="shared" si="3"/>
        <v>MAR</v>
      </c>
      <c r="K4" s="16"/>
      <c r="L4" s="16"/>
      <c r="M4" s="16"/>
      <c r="N4" s="16"/>
      <c r="O4" s="16"/>
    </row>
    <row r="5" spans="1:15" ht="15.75" customHeight="1">
      <c r="A5" s="3" t="s">
        <v>23</v>
      </c>
      <c r="B5" s="3" t="s">
        <v>24</v>
      </c>
      <c r="C5" s="3" t="s">
        <v>25</v>
      </c>
      <c r="D5" s="3">
        <v>900</v>
      </c>
      <c r="E5" s="3">
        <v>25</v>
      </c>
      <c r="F5" s="3" t="s">
        <v>13</v>
      </c>
      <c r="G5" s="2" t="str">
        <f t="shared" si="0"/>
        <v>High price</v>
      </c>
      <c r="H5" t="str">
        <f t="shared" si="1"/>
        <v>11</v>
      </c>
      <c r="I5" t="str">
        <f t="shared" si="2"/>
        <v>US</v>
      </c>
      <c r="J5" t="str">
        <f t="shared" si="3"/>
        <v>APR</v>
      </c>
      <c r="K5" s="5" t="s">
        <v>26</v>
      </c>
      <c r="L5" s="6"/>
      <c r="M5" s="7">
        <f>SUM(D2:D35)</f>
        <v>10100</v>
      </c>
      <c r="N5" s="8"/>
      <c r="O5" s="9"/>
    </row>
    <row r="6" spans="1:15" ht="15.75" customHeight="1">
      <c r="A6" s="2" t="s">
        <v>27</v>
      </c>
      <c r="B6" s="2" t="s">
        <v>28</v>
      </c>
      <c r="C6" s="2" t="s">
        <v>29</v>
      </c>
      <c r="D6" s="2">
        <v>70</v>
      </c>
      <c r="E6" s="2">
        <v>20</v>
      </c>
      <c r="F6" s="2" t="s">
        <v>30</v>
      </c>
      <c r="G6" s="2" t="str">
        <f t="shared" si="0"/>
        <v>standard price</v>
      </c>
      <c r="H6" t="str">
        <f t="shared" si="1"/>
        <v>22</v>
      </c>
      <c r="I6" t="str">
        <f t="shared" si="2"/>
        <v>US</v>
      </c>
      <c r="J6" t="str">
        <f t="shared" si="3"/>
        <v>MAY</v>
      </c>
      <c r="K6" s="5" t="s">
        <v>31</v>
      </c>
      <c r="L6" s="6"/>
      <c r="M6" s="7">
        <f>COUNTA(D2:D35)</f>
        <v>34</v>
      </c>
      <c r="N6" s="9"/>
      <c r="O6" s="9"/>
    </row>
    <row r="7" spans="1:15" ht="15.75" customHeight="1">
      <c r="A7" s="3" t="s">
        <v>32</v>
      </c>
      <c r="B7" s="3" t="s">
        <v>33</v>
      </c>
      <c r="C7" s="3" t="s">
        <v>34</v>
      </c>
      <c r="D7" s="3">
        <v>200</v>
      </c>
      <c r="E7" s="3">
        <v>45</v>
      </c>
      <c r="F7" s="3" t="s">
        <v>13</v>
      </c>
      <c r="G7" s="2" t="str">
        <f t="shared" si="0"/>
        <v>standard price</v>
      </c>
      <c r="H7" t="str">
        <f t="shared" si="1"/>
        <v>07</v>
      </c>
      <c r="I7" t="str">
        <f t="shared" si="2"/>
        <v>UK</v>
      </c>
      <c r="J7" t="str">
        <f t="shared" si="3"/>
        <v>JUN</v>
      </c>
      <c r="K7" s="5" t="s">
        <v>35</v>
      </c>
      <c r="L7" s="6"/>
      <c r="M7" s="7">
        <f>AVERAGE(D2:D35)</f>
        <v>297.05882352941177</v>
      </c>
      <c r="N7" s="9"/>
      <c r="O7" s="9"/>
    </row>
    <row r="8" spans="1:15" ht="15.75" customHeight="1">
      <c r="A8" s="2" t="s">
        <v>36</v>
      </c>
      <c r="B8" s="2" t="s">
        <v>37</v>
      </c>
      <c r="C8" s="2" t="s">
        <v>38</v>
      </c>
      <c r="D8" s="2">
        <v>30</v>
      </c>
      <c r="E8" s="2">
        <v>5</v>
      </c>
      <c r="F8" s="2" t="s">
        <v>17</v>
      </c>
      <c r="G8" s="2" t="str">
        <f t="shared" si="0"/>
        <v>standard price</v>
      </c>
      <c r="H8" t="str">
        <f t="shared" si="1"/>
        <v>19</v>
      </c>
      <c r="I8" t="str">
        <f t="shared" si="2"/>
        <v>UK</v>
      </c>
      <c r="J8" t="str">
        <f t="shared" si="3"/>
        <v>JUL</v>
      </c>
      <c r="K8" s="4"/>
    </row>
    <row r="9" spans="1:15" ht="15.75" customHeight="1">
      <c r="A9" s="3" t="s">
        <v>39</v>
      </c>
      <c r="B9" s="3" t="s">
        <v>40</v>
      </c>
      <c r="C9" s="3" t="s">
        <v>41</v>
      </c>
      <c r="D9" s="3">
        <v>90</v>
      </c>
      <c r="E9" s="3">
        <v>35</v>
      </c>
      <c r="F9" s="3" t="s">
        <v>22</v>
      </c>
      <c r="G9" s="2" t="str">
        <f t="shared" si="0"/>
        <v>standard price</v>
      </c>
      <c r="H9" t="str">
        <f t="shared" si="1"/>
        <v>23</v>
      </c>
      <c r="I9" t="str">
        <f t="shared" si="2"/>
        <v>UK</v>
      </c>
      <c r="J9" t="str">
        <f t="shared" si="3"/>
        <v>AUG</v>
      </c>
    </row>
    <row r="10" spans="1:15" ht="15.75" customHeight="1">
      <c r="A10" s="2" t="s">
        <v>42</v>
      </c>
      <c r="B10" s="2" t="s">
        <v>43</v>
      </c>
      <c r="C10" s="2" t="s">
        <v>44</v>
      </c>
      <c r="D10" s="2">
        <v>500</v>
      </c>
      <c r="E10" s="2">
        <v>50</v>
      </c>
      <c r="F10" s="2" t="s">
        <v>13</v>
      </c>
      <c r="G10" s="2" t="str">
        <f t="shared" si="0"/>
        <v>standard price</v>
      </c>
      <c r="H10" t="str">
        <f t="shared" si="1"/>
        <v>05</v>
      </c>
      <c r="I10" t="str">
        <f t="shared" si="2"/>
        <v>UK</v>
      </c>
      <c r="J10" t="str">
        <f t="shared" si="3"/>
        <v>SEP</v>
      </c>
      <c r="K10" s="14" t="s">
        <v>45</v>
      </c>
      <c r="L10" s="14"/>
      <c r="M10" s="14"/>
      <c r="N10" s="14"/>
      <c r="O10" s="14"/>
    </row>
    <row r="11" spans="1:15" ht="15.75" customHeight="1">
      <c r="A11" s="3" t="s">
        <v>46</v>
      </c>
      <c r="B11" s="3" t="s">
        <v>47</v>
      </c>
      <c r="C11" s="3" t="s">
        <v>48</v>
      </c>
      <c r="D11" s="3">
        <v>130</v>
      </c>
      <c r="E11" s="3">
        <v>10</v>
      </c>
      <c r="F11" s="3" t="s">
        <v>30</v>
      </c>
      <c r="G11" s="2" t="str">
        <f t="shared" si="0"/>
        <v>standard price</v>
      </c>
      <c r="H11" t="str">
        <f t="shared" si="1"/>
        <v>14</v>
      </c>
      <c r="I11" t="str">
        <f t="shared" si="2"/>
        <v>UK</v>
      </c>
      <c r="J11" t="str">
        <f t="shared" si="3"/>
        <v>OCT</v>
      </c>
      <c r="K11" s="14"/>
      <c r="L11" s="14"/>
      <c r="M11" s="14"/>
      <c r="N11" s="14"/>
      <c r="O11" s="14"/>
    </row>
    <row r="12" spans="1:15" ht="15.75" customHeight="1">
      <c r="A12" s="2" t="s">
        <v>49</v>
      </c>
      <c r="B12" s="2" t="s">
        <v>11</v>
      </c>
      <c r="C12" s="2" t="s">
        <v>50</v>
      </c>
      <c r="D12" s="2">
        <v>950</v>
      </c>
      <c r="E12" s="2">
        <v>25</v>
      </c>
      <c r="F12" s="2" t="s">
        <v>13</v>
      </c>
      <c r="G12" s="2" t="str">
        <f t="shared" si="0"/>
        <v>High price</v>
      </c>
      <c r="H12" t="str">
        <f t="shared" si="1"/>
        <v>17</v>
      </c>
      <c r="I12" t="str">
        <f t="shared" si="2"/>
        <v>IN</v>
      </c>
      <c r="J12" t="str">
        <f t="shared" si="3"/>
        <v>JUN</v>
      </c>
      <c r="K12" s="7" t="s">
        <v>51</v>
      </c>
      <c r="L12" s="7"/>
      <c r="M12" s="7">
        <f>MIN(D2:D35)</f>
        <v>30</v>
      </c>
      <c r="N12" s="7"/>
      <c r="O12" s="7"/>
    </row>
    <row r="13" spans="1:15" ht="15.75" customHeight="1">
      <c r="A13" s="3" t="s">
        <v>52</v>
      </c>
      <c r="B13" s="3" t="s">
        <v>15</v>
      </c>
      <c r="C13" s="3" t="s">
        <v>38</v>
      </c>
      <c r="D13" s="3">
        <v>90</v>
      </c>
      <c r="E13" s="3">
        <v>40</v>
      </c>
      <c r="F13" s="3" t="s">
        <v>17</v>
      </c>
      <c r="G13" s="2" t="str">
        <f t="shared" si="0"/>
        <v>standard price</v>
      </c>
      <c r="H13" t="str">
        <f t="shared" si="1"/>
        <v>25</v>
      </c>
      <c r="I13" t="str">
        <f t="shared" si="2"/>
        <v>AU</v>
      </c>
      <c r="J13" t="str">
        <f t="shared" si="3"/>
        <v>NOV</v>
      </c>
      <c r="K13" s="7" t="s">
        <v>53</v>
      </c>
      <c r="L13" s="7"/>
      <c r="M13" s="7">
        <f>MAX(D2:D35)</f>
        <v>1000</v>
      </c>
      <c r="N13" s="7"/>
      <c r="O13" s="7"/>
    </row>
    <row r="14" spans="1:15" ht="15.75" customHeight="1">
      <c r="A14" s="2" t="s">
        <v>54</v>
      </c>
      <c r="B14" s="2" t="s">
        <v>20</v>
      </c>
      <c r="C14" s="2" t="s">
        <v>55</v>
      </c>
      <c r="D14" s="2">
        <v>120</v>
      </c>
      <c r="E14" s="2">
        <v>35</v>
      </c>
      <c r="F14" s="2" t="s">
        <v>22</v>
      </c>
      <c r="G14" s="2" t="str">
        <f t="shared" si="0"/>
        <v>standard price</v>
      </c>
      <c r="H14" t="str">
        <f t="shared" si="1"/>
        <v>08</v>
      </c>
      <c r="I14" t="str">
        <f t="shared" si="2"/>
        <v>DE</v>
      </c>
      <c r="J14" t="str">
        <f t="shared" si="3"/>
        <v>DEC</v>
      </c>
    </row>
    <row r="15" spans="1:15" ht="15.75" customHeight="1">
      <c r="A15" s="3" t="s">
        <v>56</v>
      </c>
      <c r="B15" s="3" t="s">
        <v>57</v>
      </c>
      <c r="C15" s="3" t="s">
        <v>58</v>
      </c>
      <c r="D15" s="3">
        <v>150</v>
      </c>
      <c r="E15" s="3">
        <v>15</v>
      </c>
      <c r="F15" s="3" t="s">
        <v>13</v>
      </c>
      <c r="G15" s="2" t="str">
        <f t="shared" si="0"/>
        <v>standard price</v>
      </c>
      <c r="H15" t="str">
        <f t="shared" si="1"/>
        <v>18</v>
      </c>
      <c r="I15" t="str">
        <f t="shared" si="2"/>
        <v>CA</v>
      </c>
      <c r="J15" t="str">
        <f t="shared" si="3"/>
        <v>FEB</v>
      </c>
    </row>
    <row r="16" spans="1:15" ht="15.75" customHeight="1">
      <c r="A16" s="2" t="s">
        <v>59</v>
      </c>
      <c r="B16" s="2" t="s">
        <v>33</v>
      </c>
      <c r="C16" s="2" t="s">
        <v>60</v>
      </c>
      <c r="D16" s="2">
        <v>250</v>
      </c>
      <c r="E16" s="2">
        <v>20</v>
      </c>
      <c r="F16" s="2" t="s">
        <v>13</v>
      </c>
      <c r="G16" s="2" t="str">
        <f t="shared" si="0"/>
        <v>standard price</v>
      </c>
      <c r="H16" t="str">
        <f t="shared" si="1"/>
        <v>16</v>
      </c>
      <c r="I16" t="str">
        <f t="shared" si="2"/>
        <v>ES</v>
      </c>
      <c r="J16" t="str">
        <f t="shared" si="3"/>
        <v>APR</v>
      </c>
      <c r="K16" s="14" t="s">
        <v>61</v>
      </c>
      <c r="L16" s="14"/>
      <c r="M16" s="14"/>
      <c r="N16" s="14"/>
      <c r="O16" s="14"/>
    </row>
    <row r="17" spans="1:15" ht="15.75" customHeight="1">
      <c r="A17" s="3" t="s">
        <v>62</v>
      </c>
      <c r="B17" s="3" t="s">
        <v>63</v>
      </c>
      <c r="C17" s="3" t="s">
        <v>64</v>
      </c>
      <c r="D17" s="3">
        <v>50</v>
      </c>
      <c r="E17" s="3">
        <v>35</v>
      </c>
      <c r="F17" s="3" t="s">
        <v>65</v>
      </c>
      <c r="G17" s="2" t="str">
        <f t="shared" si="0"/>
        <v>standard price</v>
      </c>
      <c r="H17" t="str">
        <f t="shared" si="1"/>
        <v>21</v>
      </c>
      <c r="I17" t="str">
        <f t="shared" si="2"/>
        <v>CA</v>
      </c>
      <c r="J17" t="str">
        <f t="shared" si="3"/>
        <v>AUG</v>
      </c>
      <c r="K17" s="14"/>
      <c r="L17" s="14"/>
      <c r="M17" s="14"/>
      <c r="N17" s="14"/>
      <c r="O17" s="14"/>
    </row>
    <row r="18" spans="1:15" ht="15.75" customHeight="1">
      <c r="A18" s="2" t="s">
        <v>66</v>
      </c>
      <c r="B18" s="2" t="s">
        <v>57</v>
      </c>
      <c r="C18" s="2" t="s">
        <v>67</v>
      </c>
      <c r="D18" s="2">
        <v>160</v>
      </c>
      <c r="E18" s="2">
        <v>15</v>
      </c>
      <c r="F18" s="2" t="s">
        <v>13</v>
      </c>
      <c r="G18" s="2" t="str">
        <f t="shared" si="0"/>
        <v>standard price</v>
      </c>
      <c r="H18" t="str">
        <f t="shared" si="1"/>
        <v>20</v>
      </c>
      <c r="I18" t="str">
        <f t="shared" si="2"/>
        <v>CN</v>
      </c>
      <c r="J18" t="str">
        <f t="shared" si="3"/>
        <v>AUG</v>
      </c>
      <c r="K18" s="17" t="s">
        <v>68</v>
      </c>
      <c r="L18" s="17"/>
      <c r="M18" s="17"/>
      <c r="N18" s="17"/>
      <c r="O18" s="17"/>
    </row>
    <row r="19" spans="1:15" ht="15.75" customHeight="1">
      <c r="A19" s="3" t="s">
        <v>69</v>
      </c>
      <c r="B19" s="3" t="s">
        <v>11</v>
      </c>
      <c r="C19" s="3" t="s">
        <v>70</v>
      </c>
      <c r="D19" s="3">
        <v>980</v>
      </c>
      <c r="E19" s="3">
        <v>10</v>
      </c>
      <c r="F19" s="3" t="s">
        <v>13</v>
      </c>
      <c r="G19" s="2" t="str">
        <f t="shared" si="0"/>
        <v>High price</v>
      </c>
      <c r="H19" t="str">
        <f t="shared" si="1"/>
        <v>27</v>
      </c>
      <c r="I19" t="str">
        <f t="shared" si="2"/>
        <v>IT</v>
      </c>
      <c r="J19" t="str">
        <f t="shared" si="3"/>
        <v>JAN</v>
      </c>
    </row>
    <row r="20" spans="1:15" ht="15.75" customHeight="1">
      <c r="A20" s="2" t="s">
        <v>71</v>
      </c>
      <c r="B20" s="2" t="s">
        <v>72</v>
      </c>
      <c r="C20" s="2" t="s">
        <v>73</v>
      </c>
      <c r="D20" s="2">
        <v>150</v>
      </c>
      <c r="E20" s="2">
        <v>15</v>
      </c>
      <c r="F20" s="2" t="s">
        <v>17</v>
      </c>
      <c r="G20" s="2" t="str">
        <f>IF(D20&gt;500,"High price","standard price")</f>
        <v>standard price</v>
      </c>
      <c r="H20" t="str">
        <f t="shared" si="1"/>
        <v>01</v>
      </c>
      <c r="I20" t="str">
        <f t="shared" si="2"/>
        <v>UK</v>
      </c>
      <c r="J20" t="str">
        <f t="shared" si="3"/>
        <v>MAR</v>
      </c>
    </row>
    <row r="21" spans="1:15" ht="15.75" customHeight="1">
      <c r="A21" s="3" t="s">
        <v>74</v>
      </c>
      <c r="B21" s="3" t="s">
        <v>75</v>
      </c>
      <c r="C21" s="3" t="s">
        <v>76</v>
      </c>
      <c r="D21" s="3">
        <v>200</v>
      </c>
      <c r="E21" s="3">
        <v>10</v>
      </c>
      <c r="F21" s="3" t="s">
        <v>30</v>
      </c>
      <c r="G21" s="2" t="str">
        <f t="shared" si="0"/>
        <v>standard price</v>
      </c>
      <c r="H21" t="str">
        <f t="shared" si="1"/>
        <v>14</v>
      </c>
      <c r="I21" t="str">
        <f t="shared" si="2"/>
        <v>US</v>
      </c>
      <c r="J21" t="str">
        <f t="shared" si="3"/>
        <v>AUG</v>
      </c>
      <c r="K21" s="14" t="s">
        <v>77</v>
      </c>
      <c r="L21" s="14"/>
      <c r="M21" s="14"/>
      <c r="N21" s="14"/>
      <c r="O21" s="14"/>
    </row>
    <row r="22" spans="1:15" ht="15.75" customHeight="1">
      <c r="A22" s="2" t="s">
        <v>78</v>
      </c>
      <c r="B22" s="2" t="s">
        <v>79</v>
      </c>
      <c r="C22" s="2" t="s">
        <v>80</v>
      </c>
      <c r="D22" s="2">
        <v>700</v>
      </c>
      <c r="E22" s="2">
        <v>50</v>
      </c>
      <c r="F22" s="2" t="s">
        <v>13</v>
      </c>
      <c r="G22" s="2" t="str">
        <f t="shared" si="0"/>
        <v>High price</v>
      </c>
      <c r="H22" t="str">
        <f t="shared" si="1"/>
        <v>14</v>
      </c>
      <c r="I22" t="str">
        <f t="shared" si="2"/>
        <v>RU</v>
      </c>
      <c r="J22" t="str">
        <f t="shared" si="3"/>
        <v>MAY</v>
      </c>
      <c r="K22" s="14"/>
      <c r="L22" s="14"/>
      <c r="M22" s="14"/>
      <c r="N22" s="14"/>
      <c r="O22" s="14"/>
    </row>
    <row r="23" spans="1:15" ht="15.75" customHeight="1">
      <c r="A23" s="3" t="s">
        <v>81</v>
      </c>
      <c r="B23" s="3" t="s">
        <v>82</v>
      </c>
      <c r="C23" s="3" t="s">
        <v>83</v>
      </c>
      <c r="D23" s="3">
        <v>80</v>
      </c>
      <c r="E23" s="3">
        <v>20</v>
      </c>
      <c r="F23" s="3" t="s">
        <v>22</v>
      </c>
      <c r="G23" s="2" t="str">
        <f t="shared" si="0"/>
        <v>standard price</v>
      </c>
      <c r="H23" t="str">
        <f t="shared" si="1"/>
        <v>09</v>
      </c>
      <c r="I23" t="str">
        <f t="shared" si="2"/>
        <v>CA</v>
      </c>
      <c r="J23" t="str">
        <f t="shared" si="3"/>
        <v>JAN</v>
      </c>
      <c r="K23" s="15" t="s">
        <v>84</v>
      </c>
      <c r="L23" s="7"/>
      <c r="M23" s="13">
        <f>SUMIF(F2:F35,"Electronics",D2:D35)</f>
        <v>8050</v>
      </c>
      <c r="N23" s="7"/>
      <c r="O23" s="9"/>
    </row>
    <row r="24" spans="1:15" ht="15.75" customHeight="1">
      <c r="A24" s="2" t="s">
        <v>85</v>
      </c>
      <c r="B24" s="2" t="s">
        <v>86</v>
      </c>
      <c r="C24" s="2" t="s">
        <v>87</v>
      </c>
      <c r="D24" s="2">
        <v>150</v>
      </c>
      <c r="E24" s="2">
        <v>30</v>
      </c>
      <c r="F24" s="2" t="s">
        <v>13</v>
      </c>
      <c r="G24" s="2" t="str">
        <f t="shared" si="0"/>
        <v>standard price</v>
      </c>
      <c r="H24" t="str">
        <f t="shared" si="1"/>
        <v>19</v>
      </c>
      <c r="I24" t="str">
        <f t="shared" si="2"/>
        <v>BR</v>
      </c>
      <c r="J24" t="str">
        <f t="shared" si="3"/>
        <v>JUL</v>
      </c>
      <c r="K24" s="15"/>
      <c r="L24" s="7"/>
      <c r="M24" s="13"/>
      <c r="N24" s="7"/>
      <c r="O24" s="9"/>
    </row>
    <row r="25" spans="1:15" ht="15.75" customHeight="1">
      <c r="A25" s="3" t="s">
        <v>62</v>
      </c>
      <c r="B25" s="3" t="s">
        <v>63</v>
      </c>
      <c r="C25" s="3" t="s">
        <v>64</v>
      </c>
      <c r="D25" s="3">
        <v>50</v>
      </c>
      <c r="E25" s="3">
        <v>35</v>
      </c>
      <c r="F25" s="3" t="s">
        <v>65</v>
      </c>
      <c r="G25" s="2" t="str">
        <f t="shared" si="0"/>
        <v>standard price</v>
      </c>
      <c r="H25" t="str">
        <f t="shared" si="1"/>
        <v>21</v>
      </c>
      <c r="I25" t="str">
        <f t="shared" si="2"/>
        <v>CA</v>
      </c>
      <c r="J25" t="str">
        <f t="shared" si="3"/>
        <v>AUG</v>
      </c>
      <c r="K25" s="15" t="s">
        <v>88</v>
      </c>
      <c r="L25" s="7"/>
      <c r="M25" s="13">
        <f>COUNTIF(D2:D35,"&lt;100")</f>
        <v>11</v>
      </c>
      <c r="N25" s="7"/>
      <c r="O25" s="9"/>
    </row>
    <row r="26" spans="1:15" ht="15.75" customHeight="1">
      <c r="A26" s="2" t="s">
        <v>89</v>
      </c>
      <c r="B26" s="2" t="s">
        <v>24</v>
      </c>
      <c r="C26" s="2" t="s">
        <v>90</v>
      </c>
      <c r="D26" s="2">
        <v>800</v>
      </c>
      <c r="E26" s="2">
        <v>45</v>
      </c>
      <c r="F26" s="2" t="s">
        <v>13</v>
      </c>
      <c r="G26" s="2" t="str">
        <f t="shared" si="0"/>
        <v>High price</v>
      </c>
      <c r="H26" t="str">
        <f t="shared" si="1"/>
        <v>29</v>
      </c>
      <c r="I26" t="str">
        <f t="shared" si="2"/>
        <v>CA</v>
      </c>
      <c r="J26" t="str">
        <f t="shared" si="3"/>
        <v>SEP</v>
      </c>
      <c r="K26" s="15"/>
      <c r="L26" s="7"/>
      <c r="M26" s="13"/>
      <c r="N26" s="7"/>
      <c r="O26" s="9"/>
    </row>
    <row r="27" spans="1:15" ht="15.75" customHeight="1">
      <c r="A27" s="3" t="s">
        <v>91</v>
      </c>
      <c r="B27" s="3" t="s">
        <v>72</v>
      </c>
      <c r="C27" s="3" t="s">
        <v>92</v>
      </c>
      <c r="D27" s="3">
        <v>130</v>
      </c>
      <c r="E27" s="3">
        <v>25</v>
      </c>
      <c r="F27" s="3" t="s">
        <v>17</v>
      </c>
      <c r="G27" s="2" t="str">
        <f t="shared" si="0"/>
        <v>standard price</v>
      </c>
      <c r="H27" t="str">
        <f t="shared" si="1"/>
        <v>03</v>
      </c>
      <c r="I27" t="str">
        <f t="shared" si="2"/>
        <v>CA</v>
      </c>
      <c r="J27" t="str">
        <f t="shared" si="3"/>
        <v>JUN</v>
      </c>
    </row>
    <row r="28" spans="1:15" ht="15.75" customHeight="1">
      <c r="A28" s="2" t="s">
        <v>93</v>
      </c>
      <c r="B28" s="2" t="s">
        <v>40</v>
      </c>
      <c r="C28" s="2" t="s">
        <v>94</v>
      </c>
      <c r="D28" s="2">
        <v>400</v>
      </c>
      <c r="E28" s="2">
        <v>40</v>
      </c>
      <c r="F28" s="2" t="s">
        <v>22</v>
      </c>
      <c r="G28" s="2" t="str">
        <f t="shared" si="0"/>
        <v>standard price</v>
      </c>
      <c r="H28" t="str">
        <f t="shared" si="1"/>
        <v>11</v>
      </c>
      <c r="I28" t="str">
        <f t="shared" si="2"/>
        <v>CA</v>
      </c>
      <c r="J28" t="str">
        <f t="shared" si="3"/>
        <v>JUL</v>
      </c>
    </row>
    <row r="29" spans="1:15" ht="15.75" customHeight="1">
      <c r="A29" s="3" t="s">
        <v>59</v>
      </c>
      <c r="B29" s="3" t="s">
        <v>33</v>
      </c>
      <c r="C29" s="3" t="s">
        <v>60</v>
      </c>
      <c r="D29" s="3">
        <v>230</v>
      </c>
      <c r="E29" s="3">
        <v>20</v>
      </c>
      <c r="F29" s="3" t="s">
        <v>13</v>
      </c>
      <c r="G29" s="2" t="str">
        <f t="shared" si="0"/>
        <v>standard price</v>
      </c>
      <c r="H29" t="str">
        <f t="shared" si="1"/>
        <v>16</v>
      </c>
      <c r="I29" t="str">
        <f t="shared" si="2"/>
        <v>ES</v>
      </c>
      <c r="J29" t="str">
        <f t="shared" si="3"/>
        <v>APR</v>
      </c>
      <c r="K29" s="14" t="s">
        <v>95</v>
      </c>
      <c r="L29" s="14"/>
      <c r="M29" s="14"/>
      <c r="N29" s="14"/>
      <c r="O29" s="14"/>
    </row>
    <row r="30" spans="1:15" ht="15.75" customHeight="1">
      <c r="A30" s="2" t="s">
        <v>96</v>
      </c>
      <c r="B30" s="2" t="s">
        <v>97</v>
      </c>
      <c r="C30" s="2" t="s">
        <v>98</v>
      </c>
      <c r="D30" s="2">
        <v>60</v>
      </c>
      <c r="E30" s="2">
        <v>30</v>
      </c>
      <c r="F30" s="2" t="s">
        <v>17</v>
      </c>
      <c r="G30" s="2" t="str">
        <f t="shared" si="0"/>
        <v>standard price</v>
      </c>
      <c r="H30" t="str">
        <f t="shared" si="1"/>
        <v>07</v>
      </c>
      <c r="I30" t="str">
        <f t="shared" si="2"/>
        <v>CA</v>
      </c>
      <c r="J30" t="str">
        <f t="shared" si="3"/>
        <v>MAR</v>
      </c>
      <c r="K30" s="14"/>
      <c r="L30" s="14"/>
      <c r="M30" s="14"/>
      <c r="N30" s="14"/>
      <c r="O30" s="14"/>
    </row>
    <row r="31" spans="1:15" ht="15.75" customHeight="1">
      <c r="A31" s="3" t="s">
        <v>99</v>
      </c>
      <c r="B31" s="3" t="s">
        <v>100</v>
      </c>
      <c r="C31" s="3" t="s">
        <v>101</v>
      </c>
      <c r="D31" s="3">
        <v>40</v>
      </c>
      <c r="E31" s="3">
        <v>10</v>
      </c>
      <c r="F31" s="3" t="s">
        <v>22</v>
      </c>
      <c r="G31" s="2" t="str">
        <f t="shared" si="0"/>
        <v>standard price</v>
      </c>
      <c r="H31" t="str">
        <f t="shared" si="1"/>
        <v>13</v>
      </c>
      <c r="I31" t="str">
        <f t="shared" si="2"/>
        <v>CA</v>
      </c>
      <c r="J31" t="str">
        <f t="shared" si="3"/>
        <v>APR</v>
      </c>
      <c r="K31" s="13" t="s">
        <v>102</v>
      </c>
      <c r="L31" s="13"/>
      <c r="M31" s="13"/>
      <c r="N31" s="13"/>
      <c r="O31" s="13"/>
    </row>
    <row r="32" spans="1:15" ht="15.75" customHeight="1">
      <c r="A32" s="2" t="s">
        <v>103</v>
      </c>
      <c r="B32" s="2" t="s">
        <v>86</v>
      </c>
      <c r="C32" s="2" t="s">
        <v>104</v>
      </c>
      <c r="D32" s="2">
        <v>130</v>
      </c>
      <c r="E32" s="2">
        <v>5</v>
      </c>
      <c r="F32" s="2" t="s">
        <v>13</v>
      </c>
      <c r="G32" s="2" t="str">
        <f t="shared" si="0"/>
        <v>standard price</v>
      </c>
      <c r="H32" t="str">
        <f t="shared" si="1"/>
        <v>24</v>
      </c>
      <c r="I32" t="str">
        <f t="shared" si="2"/>
        <v>CA</v>
      </c>
      <c r="J32" t="str">
        <f t="shared" si="3"/>
        <v>MAY</v>
      </c>
      <c r="K32" s="13"/>
      <c r="L32" s="13"/>
      <c r="M32" s="13"/>
      <c r="N32" s="13"/>
      <c r="O32" s="13"/>
    </row>
    <row r="33" spans="1:10" ht="15.75" customHeight="1">
      <c r="A33" s="3" t="s">
        <v>105</v>
      </c>
      <c r="B33" s="3" t="s">
        <v>106</v>
      </c>
      <c r="C33" s="3" t="s">
        <v>107</v>
      </c>
      <c r="D33" s="3">
        <v>50</v>
      </c>
      <c r="E33" s="3">
        <v>50</v>
      </c>
      <c r="F33" s="3" t="s">
        <v>17</v>
      </c>
      <c r="G33" s="2" t="str">
        <f>IF(D33&gt;500,"High price","standard price")</f>
        <v>standard price</v>
      </c>
      <c r="H33" t="str">
        <f t="shared" si="1"/>
        <v>02</v>
      </c>
      <c r="I33" t="str">
        <f t="shared" si="2"/>
        <v>CA</v>
      </c>
      <c r="J33" t="str">
        <f t="shared" si="3"/>
        <v>DEC</v>
      </c>
    </row>
    <row r="34" spans="1:10" ht="15.75" customHeight="1">
      <c r="A34" s="2" t="s">
        <v>49</v>
      </c>
      <c r="B34" s="2" t="s">
        <v>11</v>
      </c>
      <c r="C34" s="2" t="s">
        <v>50</v>
      </c>
      <c r="D34" s="2">
        <v>950</v>
      </c>
      <c r="E34" s="2">
        <v>25</v>
      </c>
      <c r="F34" s="2" t="s">
        <v>13</v>
      </c>
      <c r="G34" s="2" t="str">
        <f t="shared" si="0"/>
        <v>High price</v>
      </c>
      <c r="H34" t="str">
        <f t="shared" si="1"/>
        <v>17</v>
      </c>
      <c r="I34" t="str">
        <f t="shared" si="2"/>
        <v>IN</v>
      </c>
      <c r="J34" t="str">
        <f t="shared" si="3"/>
        <v>JUN</v>
      </c>
    </row>
    <row r="35" spans="1:10" ht="15.75" customHeight="1">
      <c r="A35" s="3" t="s">
        <v>108</v>
      </c>
      <c r="B35" s="3" t="s">
        <v>109</v>
      </c>
      <c r="C35" s="3" t="s">
        <v>110</v>
      </c>
      <c r="D35" s="3">
        <v>100</v>
      </c>
      <c r="E35" s="3">
        <v>20</v>
      </c>
      <c r="F35" s="3" t="s">
        <v>65</v>
      </c>
      <c r="G35" s="2" t="str">
        <f t="shared" si="0"/>
        <v>standard price</v>
      </c>
      <c r="H35" t="str">
        <f t="shared" si="1"/>
        <v>09</v>
      </c>
      <c r="I35" t="str">
        <f t="shared" si="2"/>
        <v>FR</v>
      </c>
      <c r="J35" t="str">
        <f t="shared" si="3"/>
        <v>JUL</v>
      </c>
    </row>
    <row r="36" spans="1:10" ht="15.75" customHeight="1"/>
    <row r="37" spans="1:10" ht="15.75" customHeight="1"/>
    <row r="38" spans="1:10" ht="15.75" customHeight="1"/>
    <row r="39" spans="1:10" ht="15.75" customHeight="1"/>
    <row r="40" spans="1:10" ht="15.75" customHeight="1"/>
    <row r="41" spans="1:10" ht="15.75" customHeight="1"/>
    <row r="42" spans="1:10" ht="15.75" customHeight="1"/>
    <row r="43" spans="1:10" ht="15.75" customHeight="1"/>
    <row r="44" spans="1:10" ht="15.75" customHeight="1"/>
    <row r="45" spans="1:10" ht="15.75" customHeight="1"/>
    <row r="46" spans="1:10" ht="15.75" customHeight="1"/>
    <row r="47" spans="1:10" ht="15.75" customHeight="1"/>
    <row r="48" spans="1:10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K3:O4"/>
    <mergeCell ref="K10:O11"/>
    <mergeCell ref="K16:O17"/>
    <mergeCell ref="K18:O18"/>
    <mergeCell ref="K31:O32"/>
    <mergeCell ref="K21:O22"/>
    <mergeCell ref="K23:K24"/>
    <mergeCell ref="K25:K26"/>
    <mergeCell ref="M23:M24"/>
    <mergeCell ref="M25:M26"/>
    <mergeCell ref="K29:O30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Hemarubini Balamurugan</cp:lastModifiedBy>
  <cp:revision/>
  <dcterms:created xsi:type="dcterms:W3CDTF">2026-05-22T07:15:55Z</dcterms:created>
  <dcterms:modified xsi:type="dcterms:W3CDTF">2026-05-23T10:46:52Z</dcterms:modified>
  <cp:category/>
  <cp:contentStatus/>
</cp:coreProperties>
</file>